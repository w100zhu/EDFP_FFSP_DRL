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2" windowWidth="14808" windowHeight="7980"/>
  </bookViews>
  <sheets>
    <sheet name="宇通161" sheetId="1" r:id="rId1"/>
  </sheets>
  <calcPr calcId="162913"/>
</workbook>
</file>

<file path=xl/calcChain.xml><?xml version="1.0" encoding="utf-8"?>
<calcChain xmlns="http://schemas.openxmlformats.org/spreadsheetml/2006/main">
  <c r="C23" i="1" l="1"/>
  <c r="E23" i="1"/>
  <c r="G2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F22" i="1"/>
  <c r="F21" i="1"/>
  <c r="F20" i="1"/>
  <c r="F18" i="1"/>
  <c r="F17" i="1"/>
  <c r="F16" i="1"/>
  <c r="F15" i="1"/>
  <c r="F14" i="1"/>
  <c r="F12" i="1"/>
  <c r="F7" i="1"/>
  <c r="F6" i="1"/>
  <c r="F5" i="1"/>
  <c r="F4" i="1"/>
  <c r="H23" i="1" l="1"/>
</calcChain>
</file>

<file path=xl/sharedStrings.xml><?xml version="1.0" encoding="utf-8"?>
<sst xmlns="http://schemas.openxmlformats.org/spreadsheetml/2006/main" count="73" uniqueCount="49">
  <si>
    <t>工步</t>
    <phoneticPr fontId="1" type="noConversion"/>
  </si>
  <si>
    <t>工装板电池包上料</t>
  </si>
  <si>
    <t>电池包漏电检测+扫码</t>
    <phoneticPr fontId="2" type="noConversion"/>
  </si>
  <si>
    <t>拆上盖螺栓</t>
    <phoneticPr fontId="2" type="noConversion"/>
  </si>
  <si>
    <t>拆压梁螺栓</t>
    <phoneticPr fontId="2" type="noConversion"/>
  </si>
  <si>
    <t>拆除扎带、螺栓防护帽</t>
    <phoneticPr fontId="2" type="noConversion"/>
  </si>
  <si>
    <t>拆除栓接导流排</t>
    <phoneticPr fontId="2" type="noConversion"/>
  </si>
  <si>
    <t>拆除电子附件</t>
    <phoneticPr fontId="2" type="noConversion"/>
  </si>
  <si>
    <t>拆除固定动力线螺母</t>
    <phoneticPr fontId="2" type="noConversion"/>
  </si>
  <si>
    <t>拆除模组与箱体固定螺栓</t>
    <phoneticPr fontId="2" type="noConversion"/>
  </si>
  <si>
    <t>取出模组</t>
    <phoneticPr fontId="2" type="noConversion"/>
  </si>
  <si>
    <t>拆除箱体其他零件</t>
    <phoneticPr fontId="2" type="noConversion"/>
  </si>
  <si>
    <t>箱体下线</t>
    <phoneticPr fontId="2" type="noConversion"/>
  </si>
  <si>
    <t>模组测试</t>
    <phoneticPr fontId="2" type="noConversion"/>
  </si>
  <si>
    <t>模组放电（多通道）</t>
    <phoneticPr fontId="2" type="noConversion"/>
  </si>
  <si>
    <t>拆加热片螺栓</t>
    <phoneticPr fontId="2" type="noConversion"/>
  </si>
  <si>
    <t>拆模组塑料盖板螺栓</t>
    <phoneticPr fontId="2" type="noConversion"/>
  </si>
  <si>
    <t>拆模组内部栓接导流排</t>
    <phoneticPr fontId="2" type="noConversion"/>
  </si>
  <si>
    <t>拆除模组焊接导流排（多通道）</t>
    <phoneticPr fontId="2" type="noConversion"/>
  </si>
  <si>
    <t>拆解模组外框架螺栓</t>
    <phoneticPr fontId="2" type="noConversion"/>
  </si>
  <si>
    <t>电池分离</t>
    <phoneticPr fontId="2" type="noConversion"/>
  </si>
  <si>
    <t>入库扫码</t>
    <phoneticPr fontId="2" type="noConversion"/>
  </si>
  <si>
    <t>工具</t>
    <phoneticPr fontId="1" type="noConversion"/>
  </si>
  <si>
    <t>工艺方式</t>
    <phoneticPr fontId="1" type="noConversion"/>
  </si>
  <si>
    <t>工时</t>
    <phoneticPr fontId="1" type="noConversion"/>
  </si>
  <si>
    <t>吊装</t>
    <phoneticPr fontId="1" type="noConversion"/>
  </si>
  <si>
    <t>绝缘表+扫码枪</t>
    <phoneticPr fontId="1" type="noConversion"/>
  </si>
  <si>
    <t>龙门吊</t>
    <phoneticPr fontId="1" type="noConversion"/>
  </si>
  <si>
    <t>电动扳手</t>
    <phoneticPr fontId="1" type="noConversion"/>
  </si>
  <si>
    <t>M5六角头螺栓</t>
  </si>
  <si>
    <t>十字槽螺栓</t>
  </si>
  <si>
    <t>/</t>
    <phoneticPr fontId="1" type="noConversion"/>
  </si>
  <si>
    <t>偏口钳</t>
    <phoneticPr fontId="1" type="noConversion"/>
  </si>
  <si>
    <t>M6螺母</t>
  </si>
  <si>
    <t>螺母</t>
    <phoneticPr fontId="1" type="noConversion"/>
  </si>
  <si>
    <t>绝缘表+万用表</t>
    <phoneticPr fontId="1" type="noConversion"/>
  </si>
  <si>
    <t>测试</t>
    <phoneticPr fontId="1" type="noConversion"/>
  </si>
  <si>
    <t>专用放电设备</t>
    <phoneticPr fontId="1" type="noConversion"/>
  </si>
  <si>
    <t>放电</t>
    <phoneticPr fontId="1" type="noConversion"/>
  </si>
  <si>
    <t>焊接</t>
    <phoneticPr fontId="1" type="noConversion"/>
  </si>
  <si>
    <t>铣床</t>
    <phoneticPr fontId="1" type="noConversion"/>
  </si>
  <si>
    <t>扫码枪</t>
    <phoneticPr fontId="1" type="noConversion"/>
  </si>
  <si>
    <t>扫码</t>
    <phoneticPr fontId="1" type="noConversion"/>
  </si>
  <si>
    <t>工具分数</t>
    <phoneticPr fontId="1" type="noConversion"/>
  </si>
  <si>
    <t>工时分数</t>
    <phoneticPr fontId="1" type="noConversion"/>
  </si>
  <si>
    <t>工艺方式分数</t>
    <phoneticPr fontId="1" type="noConversion"/>
  </si>
  <si>
    <t>总分数</t>
    <phoneticPr fontId="1" type="noConversion"/>
  </si>
  <si>
    <t>合计分数</t>
    <phoneticPr fontId="1" type="noConversion"/>
  </si>
  <si>
    <t>注：每增加1种拆解工具/1分，栓接/1分，吊装/2分，放电/2分，铆钉紧固5分，焊接5分，灌胶10分；拆解工时≤300s不得分，301-420s/1分，421-600s/2分，601-900s/5分，901-1800s/10分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</si>
</sst>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b/>
      <sz val="1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8" fillId="0" borderId="0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P26" sqref="P26"/>
    </sheetView>
  </sheetViews>
  <sheetFormatPr defaultColWidth="9" defaultRowHeight="14.4" x14ac:dyDescent="0.25"/>
  <cols>
    <col min="1" max="1" width="27.77734375" style="3" bestFit="1" customWidth="1"/>
    <col min="2" max="2" width="14.109375" style="3" bestFit="1" customWidth="1"/>
    <col min="3" max="3" width="14.109375" style="3" customWidth="1"/>
    <col min="4" max="4" width="14.109375" style="3" bestFit="1" customWidth="1"/>
    <col min="5" max="5" width="14.109375" style="3" customWidth="1"/>
    <col min="6" max="6" width="7.6640625" style="3" customWidth="1"/>
    <col min="7" max="13" width="9" style="3"/>
    <col min="14" max="14" width="29.5546875" style="3" customWidth="1"/>
    <col min="15" max="16384" width="9" style="3"/>
  </cols>
  <sheetData>
    <row r="1" spans="1:8" x14ac:dyDescent="0.25">
      <c r="A1" s="1" t="s">
        <v>0</v>
      </c>
      <c r="B1" s="1" t="s">
        <v>23</v>
      </c>
      <c r="C1" s="16" t="s">
        <v>45</v>
      </c>
      <c r="D1" s="1" t="s">
        <v>22</v>
      </c>
      <c r="E1" s="16" t="s">
        <v>43</v>
      </c>
      <c r="F1" s="1" t="s">
        <v>24</v>
      </c>
      <c r="G1" s="16" t="s">
        <v>44</v>
      </c>
      <c r="H1" s="20" t="s">
        <v>46</v>
      </c>
    </row>
    <row r="2" spans="1:8" ht="17.25" customHeight="1" x14ac:dyDescent="0.25">
      <c r="A2" s="4" t="s">
        <v>1</v>
      </c>
      <c r="B2" s="2" t="s">
        <v>25</v>
      </c>
      <c r="C2" s="17">
        <v>2</v>
      </c>
      <c r="D2" s="2" t="s">
        <v>27</v>
      </c>
      <c r="E2" s="19">
        <v>1</v>
      </c>
      <c r="F2" s="5">
        <v>300</v>
      </c>
      <c r="G2" s="17">
        <v>0</v>
      </c>
      <c r="H2" s="21">
        <f>C2+E2+G2</f>
        <v>3</v>
      </c>
    </row>
    <row r="3" spans="1:8" ht="17.25" customHeight="1" x14ac:dyDescent="0.25">
      <c r="A3" s="4" t="s">
        <v>2</v>
      </c>
      <c r="B3" s="2" t="s">
        <v>36</v>
      </c>
      <c r="C3" s="17">
        <v>0</v>
      </c>
      <c r="D3" s="2" t="s">
        <v>26</v>
      </c>
      <c r="E3" s="19">
        <v>2</v>
      </c>
      <c r="F3" s="5">
        <v>300</v>
      </c>
      <c r="G3" s="17">
        <v>0</v>
      </c>
      <c r="H3" s="21">
        <f t="shared" ref="H3:H22" si="0">C3+E3+G3</f>
        <v>2</v>
      </c>
    </row>
    <row r="4" spans="1:8" ht="17.25" customHeight="1" x14ac:dyDescent="0.25">
      <c r="A4" s="4" t="s">
        <v>3</v>
      </c>
      <c r="B4" s="2" t="s">
        <v>29</v>
      </c>
      <c r="C4" s="17">
        <v>1</v>
      </c>
      <c r="D4" s="2" t="s">
        <v>28</v>
      </c>
      <c r="E4" s="19">
        <v>1</v>
      </c>
      <c r="F4" s="5">
        <f>60*7</f>
        <v>420</v>
      </c>
      <c r="G4" s="17">
        <v>1</v>
      </c>
      <c r="H4" s="21">
        <f t="shared" si="0"/>
        <v>3</v>
      </c>
    </row>
    <row r="5" spans="1:8" ht="17.25" customHeight="1" x14ac:dyDescent="0.25">
      <c r="A5" s="6" t="s">
        <v>4</v>
      </c>
      <c r="B5" s="2" t="s">
        <v>30</v>
      </c>
      <c r="C5" s="17">
        <v>1</v>
      </c>
      <c r="D5" s="2" t="s">
        <v>28</v>
      </c>
      <c r="E5" s="19">
        <v>0</v>
      </c>
      <c r="F5" s="7">
        <f>45*9</f>
        <v>405</v>
      </c>
      <c r="G5" s="17">
        <v>1</v>
      </c>
      <c r="H5" s="21">
        <f t="shared" si="0"/>
        <v>2</v>
      </c>
    </row>
    <row r="6" spans="1:8" ht="17.25" customHeight="1" x14ac:dyDescent="0.25">
      <c r="A6" s="6" t="s">
        <v>5</v>
      </c>
      <c r="B6" s="8" t="s">
        <v>31</v>
      </c>
      <c r="C6" s="17">
        <v>0</v>
      </c>
      <c r="D6" s="2" t="s">
        <v>32</v>
      </c>
      <c r="E6" s="19">
        <v>1</v>
      </c>
      <c r="F6" s="7">
        <f>50*9</f>
        <v>450</v>
      </c>
      <c r="G6" s="17">
        <v>2</v>
      </c>
      <c r="H6" s="21">
        <f t="shared" si="0"/>
        <v>3</v>
      </c>
    </row>
    <row r="7" spans="1:8" ht="17.25" customHeight="1" x14ac:dyDescent="0.25">
      <c r="A7" s="4" t="s">
        <v>6</v>
      </c>
      <c r="B7" s="2" t="s">
        <v>33</v>
      </c>
      <c r="C7" s="17">
        <v>1</v>
      </c>
      <c r="D7" s="2" t="s">
        <v>28</v>
      </c>
      <c r="E7" s="19">
        <v>0</v>
      </c>
      <c r="F7" s="7">
        <f>60*9</f>
        <v>540</v>
      </c>
      <c r="G7" s="17">
        <v>2</v>
      </c>
      <c r="H7" s="21">
        <f t="shared" si="0"/>
        <v>3</v>
      </c>
    </row>
    <row r="8" spans="1:8" ht="17.25" customHeight="1" x14ac:dyDescent="0.25">
      <c r="A8" s="4" t="s">
        <v>7</v>
      </c>
      <c r="B8" s="2" t="s">
        <v>34</v>
      </c>
      <c r="C8" s="17">
        <v>1</v>
      </c>
      <c r="D8" s="2" t="s">
        <v>28</v>
      </c>
      <c r="E8" s="19">
        <v>0</v>
      </c>
      <c r="F8" s="5">
        <v>600</v>
      </c>
      <c r="G8" s="17">
        <v>2</v>
      </c>
      <c r="H8" s="21">
        <f t="shared" si="0"/>
        <v>3</v>
      </c>
    </row>
    <row r="9" spans="1:8" ht="17.25" customHeight="1" x14ac:dyDescent="0.25">
      <c r="A9" s="4" t="s">
        <v>8</v>
      </c>
      <c r="B9" s="2" t="s">
        <v>33</v>
      </c>
      <c r="C9" s="17">
        <v>1</v>
      </c>
      <c r="D9" s="2" t="s">
        <v>28</v>
      </c>
      <c r="E9" s="19">
        <v>0</v>
      </c>
      <c r="F9" s="9">
        <v>300</v>
      </c>
      <c r="G9" s="17">
        <v>0</v>
      </c>
      <c r="H9" s="21">
        <f t="shared" si="0"/>
        <v>1</v>
      </c>
    </row>
    <row r="10" spans="1:8" ht="17.25" customHeight="1" x14ac:dyDescent="0.25">
      <c r="A10" s="4" t="s">
        <v>9</v>
      </c>
      <c r="B10" s="2" t="s">
        <v>33</v>
      </c>
      <c r="C10" s="17">
        <v>1</v>
      </c>
      <c r="D10" s="2" t="s">
        <v>28</v>
      </c>
      <c r="E10" s="19">
        <v>0</v>
      </c>
      <c r="F10" s="4">
        <v>585</v>
      </c>
      <c r="G10" s="17">
        <v>2</v>
      </c>
      <c r="H10" s="21">
        <f t="shared" si="0"/>
        <v>3</v>
      </c>
    </row>
    <row r="11" spans="1:8" ht="17.25" customHeight="1" x14ac:dyDescent="0.25">
      <c r="A11" s="10" t="s">
        <v>10</v>
      </c>
      <c r="B11" s="2" t="s">
        <v>25</v>
      </c>
      <c r="C11" s="17">
        <v>2</v>
      </c>
      <c r="D11" s="2" t="s">
        <v>27</v>
      </c>
      <c r="E11" s="19">
        <v>0</v>
      </c>
      <c r="F11" s="11">
        <v>540</v>
      </c>
      <c r="G11" s="17">
        <v>2</v>
      </c>
      <c r="H11" s="21">
        <f t="shared" si="0"/>
        <v>4</v>
      </c>
    </row>
    <row r="12" spans="1:8" ht="17.25" customHeight="1" x14ac:dyDescent="0.25">
      <c r="A12" s="6" t="s">
        <v>11</v>
      </c>
      <c r="B12" s="2" t="s">
        <v>34</v>
      </c>
      <c r="C12" s="17">
        <v>1</v>
      </c>
      <c r="D12" s="2" t="s">
        <v>28</v>
      </c>
      <c r="E12" s="19">
        <v>0</v>
      </c>
      <c r="F12" s="7">
        <f>60*8</f>
        <v>480</v>
      </c>
      <c r="G12" s="17">
        <v>2</v>
      </c>
      <c r="H12" s="21">
        <f t="shared" si="0"/>
        <v>3</v>
      </c>
    </row>
    <row r="13" spans="1:8" ht="17.25" customHeight="1" x14ac:dyDescent="0.25">
      <c r="A13" s="4" t="s">
        <v>12</v>
      </c>
      <c r="B13" s="2" t="s">
        <v>25</v>
      </c>
      <c r="C13" s="17">
        <v>2</v>
      </c>
      <c r="D13" s="2" t="s">
        <v>27</v>
      </c>
      <c r="E13" s="19">
        <v>0</v>
      </c>
      <c r="F13" s="5">
        <v>180</v>
      </c>
      <c r="G13" s="17">
        <v>0</v>
      </c>
      <c r="H13" s="21">
        <f t="shared" si="0"/>
        <v>2</v>
      </c>
    </row>
    <row r="14" spans="1:8" ht="17.25" customHeight="1" x14ac:dyDescent="0.25">
      <c r="A14" s="4" t="s">
        <v>13</v>
      </c>
      <c r="B14" s="2" t="s">
        <v>36</v>
      </c>
      <c r="C14" s="17">
        <v>0</v>
      </c>
      <c r="D14" s="2" t="s">
        <v>35</v>
      </c>
      <c r="E14" s="17">
        <v>1</v>
      </c>
      <c r="F14" s="11">
        <f>70*9</f>
        <v>630</v>
      </c>
      <c r="G14" s="17">
        <v>5</v>
      </c>
      <c r="H14" s="21">
        <f t="shared" si="0"/>
        <v>6</v>
      </c>
    </row>
    <row r="15" spans="1:8" ht="17.25" customHeight="1" x14ac:dyDescent="0.25">
      <c r="A15" s="4" t="s">
        <v>14</v>
      </c>
      <c r="B15" s="2" t="s">
        <v>38</v>
      </c>
      <c r="C15" s="17">
        <v>2</v>
      </c>
      <c r="D15" s="2" t="s">
        <v>37</v>
      </c>
      <c r="E15" s="19">
        <v>1</v>
      </c>
      <c r="F15" s="5">
        <f>60*30</f>
        <v>1800</v>
      </c>
      <c r="G15" s="17">
        <v>10</v>
      </c>
      <c r="H15" s="21">
        <f t="shared" si="0"/>
        <v>13</v>
      </c>
    </row>
    <row r="16" spans="1:8" ht="17.25" customHeight="1" x14ac:dyDescent="0.25">
      <c r="A16" s="4" t="s">
        <v>15</v>
      </c>
      <c r="B16" s="2" t="s">
        <v>30</v>
      </c>
      <c r="C16" s="17">
        <v>1</v>
      </c>
      <c r="D16" s="2" t="s">
        <v>28</v>
      </c>
      <c r="E16" s="19">
        <v>0</v>
      </c>
      <c r="F16" s="5">
        <f>55*9</f>
        <v>495</v>
      </c>
      <c r="G16" s="17">
        <v>2</v>
      </c>
      <c r="H16" s="21">
        <f t="shared" si="0"/>
        <v>3</v>
      </c>
    </row>
    <row r="17" spans="1:14" ht="17.25" customHeight="1" x14ac:dyDescent="0.25">
      <c r="A17" s="4" t="s">
        <v>16</v>
      </c>
      <c r="B17" s="2" t="s">
        <v>30</v>
      </c>
      <c r="C17" s="17">
        <v>1</v>
      </c>
      <c r="D17" s="2" t="s">
        <v>28</v>
      </c>
      <c r="E17" s="19">
        <v>0</v>
      </c>
      <c r="F17" s="5">
        <f>50*9</f>
        <v>450</v>
      </c>
      <c r="G17" s="17">
        <v>2</v>
      </c>
      <c r="H17" s="21">
        <f t="shared" si="0"/>
        <v>3</v>
      </c>
    </row>
    <row r="18" spans="1:14" ht="17.25" customHeight="1" x14ac:dyDescent="0.25">
      <c r="A18" s="4" t="s">
        <v>17</v>
      </c>
      <c r="B18" s="2" t="s">
        <v>33</v>
      </c>
      <c r="C18" s="17">
        <v>1</v>
      </c>
      <c r="D18" s="2" t="s">
        <v>28</v>
      </c>
      <c r="E18" s="19">
        <v>0</v>
      </c>
      <c r="F18" s="5">
        <f>60*9</f>
        <v>540</v>
      </c>
      <c r="G18" s="17">
        <v>2</v>
      </c>
      <c r="H18" s="21">
        <f t="shared" si="0"/>
        <v>3</v>
      </c>
    </row>
    <row r="19" spans="1:14" ht="17.25" customHeight="1" x14ac:dyDescent="0.25">
      <c r="A19" s="4" t="s">
        <v>18</v>
      </c>
      <c r="B19" s="2" t="s">
        <v>39</v>
      </c>
      <c r="C19" s="17">
        <v>5</v>
      </c>
      <c r="D19" s="2" t="s">
        <v>40</v>
      </c>
      <c r="E19" s="19">
        <v>1</v>
      </c>
      <c r="F19" s="5">
        <v>1800</v>
      </c>
      <c r="G19" s="17">
        <v>10</v>
      </c>
      <c r="H19" s="21">
        <f t="shared" si="0"/>
        <v>16</v>
      </c>
    </row>
    <row r="20" spans="1:14" ht="17.25" customHeight="1" x14ac:dyDescent="0.25">
      <c r="A20" s="12" t="s">
        <v>19</v>
      </c>
      <c r="B20" s="2" t="s">
        <v>30</v>
      </c>
      <c r="C20" s="17">
        <v>1</v>
      </c>
      <c r="D20" s="2" t="s">
        <v>28</v>
      </c>
      <c r="E20" s="19">
        <v>0</v>
      </c>
      <c r="F20" s="5">
        <f>110*9</f>
        <v>990</v>
      </c>
      <c r="G20" s="17">
        <v>10</v>
      </c>
      <c r="H20" s="21">
        <f t="shared" si="0"/>
        <v>11</v>
      </c>
    </row>
    <row r="21" spans="1:14" ht="16.5" customHeight="1" x14ac:dyDescent="0.25">
      <c r="A21" s="4" t="s">
        <v>20</v>
      </c>
      <c r="B21" s="2" t="s">
        <v>31</v>
      </c>
      <c r="C21" s="17">
        <v>0</v>
      </c>
      <c r="D21" s="2" t="s">
        <v>31</v>
      </c>
      <c r="E21" s="19">
        <v>0</v>
      </c>
      <c r="F21" s="5">
        <f>120*9</f>
        <v>1080</v>
      </c>
      <c r="G21" s="17">
        <v>10</v>
      </c>
      <c r="H21" s="21">
        <f t="shared" si="0"/>
        <v>10</v>
      </c>
    </row>
    <row r="22" spans="1:14" ht="16.5" customHeight="1" x14ac:dyDescent="0.25">
      <c r="A22" s="4" t="s">
        <v>21</v>
      </c>
      <c r="B22" s="2" t="s">
        <v>42</v>
      </c>
      <c r="C22" s="17">
        <v>0</v>
      </c>
      <c r="D22" s="2" t="s">
        <v>41</v>
      </c>
      <c r="E22" s="17">
        <v>0</v>
      </c>
      <c r="F22" s="11">
        <f>130*9</f>
        <v>1170</v>
      </c>
      <c r="G22" s="17">
        <v>10</v>
      </c>
      <c r="H22" s="21">
        <f t="shared" si="0"/>
        <v>10</v>
      </c>
    </row>
    <row r="23" spans="1:14" x14ac:dyDescent="0.25">
      <c r="A23" s="13" t="s">
        <v>47</v>
      </c>
      <c r="B23" s="14"/>
      <c r="C23" s="18">
        <f>SUM(C2:C22)</f>
        <v>24</v>
      </c>
      <c r="D23" s="14"/>
      <c r="E23" s="18">
        <f>SUM(E2:E22)</f>
        <v>8</v>
      </c>
      <c r="F23" s="14"/>
      <c r="G23" s="18">
        <f>SUM(G2:G22)</f>
        <v>75</v>
      </c>
      <c r="H23" s="22">
        <f>SUM(H2:H22)</f>
        <v>107</v>
      </c>
    </row>
    <row r="25" spans="1:14" x14ac:dyDescent="0.25">
      <c r="A25" s="15" t="s">
        <v>48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</sheetData>
  <mergeCells count="1">
    <mergeCell ref="A25:N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宇通161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2022-04-11T01:19:26Z</dcterms:modified>
</cp:coreProperties>
</file>